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sti\Documents\"/>
    </mc:Choice>
  </mc:AlternateContent>
  <xr:revisionPtr revIDLastSave="0" documentId="8_{2605A9E8-52F5-4770-89B5-A0FBD6EDCC60}" xr6:coauthVersionLast="47" xr6:coauthVersionMax="47" xr10:uidLastSave="{00000000-0000-0000-0000-000000000000}"/>
  <bookViews>
    <workbookView xWindow="-105" yWindow="0" windowWidth="19410" windowHeight="15585" activeTab="4" xr2:uid="{0CBD7AA5-081F-4AB1-B19F-93A280F3CC77}"/>
  </bookViews>
  <sheets>
    <sheet name="Deal Inputs" sheetId="1" r:id="rId1"/>
    <sheet name="Operating Model" sheetId="2" r:id="rId2"/>
    <sheet name="Debt Schedule" sheetId="3" r:id="rId3"/>
    <sheet name="Returns Analysis" sheetId="4" r:id="rId4"/>
    <sheet name="Dashboard" sheetId="5" r:id="rId5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BO_Debt_Financing">'Deal Inputs'!$C$8</definedName>
    <definedName name="LBO_Exit_Multiple">'Deal Inputs'!$C$13</definedName>
    <definedName name="LBO_Purchase_Multiple">'Deal Inputs'!$C$7</definedName>
    <definedName name="LBO_Revenue_Growth">'Deal Inputs'!$C$17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14" i="5" l="1"/>
  <c r="B3" i="4"/>
  <c r="D3" i="2"/>
  <c r="E3" i="2"/>
  <c r="F3" i="2"/>
  <c r="G3" i="2"/>
  <c r="C3" i="2"/>
  <c r="B3" i="2"/>
  <c r="B2" i="2"/>
  <c r="F5" i="1"/>
  <c r="F6" i="1" s="1"/>
  <c r="M6" i="5" s="1"/>
  <c r="C9" i="1"/>
  <c r="B6" i="5" l="1"/>
  <c r="B11" i="2"/>
  <c r="B10" i="2"/>
  <c r="B9" i="2"/>
  <c r="B5" i="2"/>
  <c r="C2" i="2"/>
  <c r="B4" i="2"/>
  <c r="B6" i="2" s="1"/>
  <c r="F8" i="1"/>
  <c r="F7" i="1"/>
  <c r="M8" i="5" s="1"/>
  <c r="B9" i="4" l="1"/>
  <c r="M7" i="5"/>
  <c r="C9" i="2"/>
  <c r="C5" i="2"/>
  <c r="D2" i="2"/>
  <c r="C11" i="2"/>
  <c r="C4" i="2"/>
  <c r="C10" i="2"/>
  <c r="B7" i="5"/>
  <c r="B7" i="2"/>
  <c r="B8" i="2" s="1"/>
  <c r="F9" i="1"/>
  <c r="C15" i="4" s="1"/>
  <c r="M16" i="5" s="1"/>
  <c r="B2" i="3"/>
  <c r="E2" i="2" l="1"/>
  <c r="F2" i="2" s="1"/>
  <c r="D10" i="2"/>
  <c r="C6" i="2"/>
  <c r="C7" i="2" s="1"/>
  <c r="C8" i="2" s="1"/>
  <c r="C12" i="2" s="1"/>
  <c r="D5" i="2"/>
  <c r="D9" i="2"/>
  <c r="B8" i="5"/>
  <c r="D11" i="2"/>
  <c r="D4" i="2"/>
  <c r="B3" i="3"/>
  <c r="B18" i="5"/>
  <c r="B9" i="5" l="1"/>
  <c r="E9" i="2"/>
  <c r="E4" i="2"/>
  <c r="E11" i="2"/>
  <c r="E10" i="2"/>
  <c r="E5" i="2"/>
  <c r="D6" i="2"/>
  <c r="D7" i="2" s="1"/>
  <c r="D8" i="2" s="1"/>
  <c r="D12" i="2" s="1"/>
  <c r="F4" i="2"/>
  <c r="F10" i="2"/>
  <c r="F11" i="2"/>
  <c r="B10" i="5"/>
  <c r="F5" i="2"/>
  <c r="F9" i="2"/>
  <c r="G2" i="2"/>
  <c r="B4" i="3"/>
  <c r="B5" i="3" s="1"/>
  <c r="B6" i="3" s="1"/>
  <c r="C2" i="3" s="1"/>
  <c r="E6" i="2" l="1"/>
  <c r="E7" i="2" s="1"/>
  <c r="E8" i="2" s="1"/>
  <c r="E12" i="2" s="1"/>
  <c r="G9" i="2"/>
  <c r="G4" i="2"/>
  <c r="G5" i="2"/>
  <c r="B11" i="5"/>
  <c r="G10" i="2"/>
  <c r="G11" i="2"/>
  <c r="F6" i="2"/>
  <c r="B19" i="5"/>
  <c r="C3" i="3"/>
  <c r="C4" i="3" s="1"/>
  <c r="C5" i="3" s="1"/>
  <c r="C6" i="3" s="1"/>
  <c r="D2" i="3" s="1"/>
  <c r="G6" i="2" l="1"/>
  <c r="B2" i="4"/>
  <c r="B4" i="4" s="1"/>
  <c r="M9" i="5" s="1"/>
  <c r="F7" i="2"/>
  <c r="F8" i="2" s="1"/>
  <c r="F12" i="2" s="1"/>
  <c r="D3" i="3"/>
  <c r="D4" i="3" s="1"/>
  <c r="D5" i="3" s="1"/>
  <c r="D6" i="3" s="1"/>
  <c r="E2" i="3" s="1"/>
  <c r="B20" i="5"/>
  <c r="B21" i="5" l="1"/>
  <c r="E3" i="3"/>
  <c r="E4" i="3" s="1"/>
  <c r="E5" i="3" s="1"/>
  <c r="E6" i="3" s="1"/>
  <c r="F2" i="3" s="1"/>
  <c r="G7" i="2"/>
  <c r="G8" i="2" s="1"/>
  <c r="G12" i="2" s="1"/>
  <c r="B22" i="5" l="1"/>
  <c r="F3" i="3"/>
  <c r="F4" i="3" s="1"/>
  <c r="F5" i="3" s="1"/>
  <c r="F6" i="3" s="1"/>
  <c r="B23" i="5" l="1"/>
  <c r="B5" i="4"/>
  <c r="B6" i="4" l="1"/>
  <c r="B10" i="4" s="1"/>
  <c r="M10" i="5"/>
  <c r="M11" i="5" l="1"/>
  <c r="B11" i="4"/>
  <c r="M12" i="5" s="1"/>
  <c r="B12" i="4" l="1"/>
  <c r="C14" i="4" s="1"/>
  <c r="F16" i="1" l="1"/>
  <c r="M15" i="5"/>
  <c r="M13" i="5"/>
</calcChain>
</file>

<file path=xl/sharedStrings.xml><?xml version="1.0" encoding="utf-8"?>
<sst xmlns="http://schemas.openxmlformats.org/spreadsheetml/2006/main" count="79" uniqueCount="56">
  <si>
    <t>Starting Revenue</t>
  </si>
  <si>
    <t>EBITDA Margin</t>
  </si>
  <si>
    <t>Purchase Multiple</t>
  </si>
  <si>
    <t>Interest Rate</t>
  </si>
  <si>
    <t>Tax Rate</t>
  </si>
  <si>
    <t>Holding Period</t>
  </si>
  <si>
    <t>CapEx % of Revenue</t>
  </si>
  <si>
    <t>Change in NWC % of Revenue</t>
  </si>
  <si>
    <t>Depreciation % of Revenue</t>
  </si>
  <si>
    <t>Exit Multiple</t>
  </si>
  <si>
    <t>Target IRR</t>
  </si>
  <si>
    <t>Revenue</t>
  </si>
  <si>
    <t>EBITDA</t>
  </si>
  <si>
    <t>Revenue Growth</t>
  </si>
  <si>
    <t>Debt Financing</t>
  </si>
  <si>
    <t>Equity Financing</t>
  </si>
  <si>
    <t>Entry Assumptions</t>
  </si>
  <si>
    <t>Starting EBITDA</t>
  </si>
  <si>
    <t>Operating Assumptions</t>
  </si>
  <si>
    <t>Initial Deal Calculations</t>
  </si>
  <si>
    <t>Entry Enterprise Value</t>
  </si>
  <si>
    <t>Initial Debt</t>
  </si>
  <si>
    <t>Initial Sponsor Equity</t>
  </si>
  <si>
    <t>Initial Debt / EBITDA</t>
  </si>
  <si>
    <t>Year</t>
  </si>
  <si>
    <t>Depreciation</t>
  </si>
  <si>
    <t>EBIT</t>
  </si>
  <si>
    <t>Taxes</t>
  </si>
  <si>
    <t>NOPAT</t>
  </si>
  <si>
    <t>− CapEx</t>
  </si>
  <si>
    <t>− Change in NWC</t>
  </si>
  <si>
    <t>Unlevered Free Cash Flow</t>
  </si>
  <si>
    <t>Depreciation +</t>
  </si>
  <si>
    <t>Beginning Debt</t>
  </si>
  <si>
    <t>Interest Expense</t>
  </si>
  <si>
    <t>Cash Available for Debt Paydown</t>
  </si>
  <si>
    <t>Debt Paydown</t>
  </si>
  <si>
    <t>Ending Debt</t>
  </si>
  <si>
    <t>Year 5 EBITDA</t>
  </si>
  <si>
    <t>Exit Enterprise Value</t>
  </si>
  <si>
    <t>Remaining Debt</t>
  </si>
  <si>
    <t>Exit Equity Value</t>
  </si>
  <si>
    <t>MOIC</t>
  </si>
  <si>
    <t>Annualized IRR</t>
  </si>
  <si>
    <t>Exit Value</t>
  </si>
  <si>
    <t>Investor Returns</t>
  </si>
  <si>
    <t>Investment Decision</t>
  </si>
  <si>
    <t>Leverage Risk</t>
  </si>
  <si>
    <t>Maximum Debt / EBITDA</t>
  </si>
  <si>
    <t>Purchase Multiples</t>
  </si>
  <si>
    <t>LBO IRR Sensitivity - Entry vs. Exit Multiples</t>
  </si>
  <si>
    <t>Exit Multiples</t>
  </si>
  <si>
    <t>Financial Summary</t>
  </si>
  <si>
    <t>LBO ACQUISITION MODEL</t>
  </si>
  <si>
    <t>Dummy Company</t>
  </si>
  <si>
    <t>LEVERAGED BUYOUT (LBO) INVESTMENT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</si>
</sst>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0"/>
    <numFmt numFmtId="166" formatCode="0.0%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vertical="center" wrapText="1"/>
    </xf>
    <xf numFmtId="9" fontId="0" fillId="0" borderId="0" xfId="0" applyNumberFormat="1"/>
    <xf numFmtId="10" fontId="0" fillId="0" borderId="0" xfId="0" applyNumberFormat="1"/>
    <xf numFmtId="6" fontId="0" fillId="0" borderId="0" xfId="0" applyNumberFormat="1"/>
    <xf numFmtId="6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 wrapText="1"/>
    </xf>
    <xf numFmtId="6" fontId="2" fillId="0" borderId="0" xfId="0" applyNumberFormat="1" applyFont="1" applyAlignment="1">
      <alignment horizontal="right" vertical="center" wrapText="1"/>
    </xf>
    <xf numFmtId="9" fontId="2" fillId="0" borderId="0" xfId="0" applyNumberFormat="1" applyFont="1" applyAlignment="1">
      <alignment horizontal="right" vertical="center" wrapText="1"/>
    </xf>
    <xf numFmtId="10" fontId="2" fillId="0" borderId="0" xfId="0" applyNumberFormat="1" applyFont="1" applyAlignment="1">
      <alignment horizontal="right" vertical="center" wrapText="1"/>
    </xf>
    <xf numFmtId="16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8" fontId="0" fillId="0" borderId="0" xfId="0" applyNumberFormat="1"/>
    <xf numFmtId="8" fontId="0" fillId="0" borderId="0" xfId="0" applyNumberFormat="1" applyAlignment="1">
      <alignment vertical="center" wrapText="1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top" wrapText="1"/>
    </xf>
    <xf numFmtId="165" fontId="0" fillId="0" borderId="0" xfId="0" applyNumberFormat="1"/>
    <xf numFmtId="10" fontId="0" fillId="0" borderId="0" xfId="1" applyNumberFormat="1" applyFont="1"/>
    <xf numFmtId="166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/>
    <xf numFmtId="44" fontId="0" fillId="0" borderId="0" xfId="2" applyFont="1"/>
    <xf numFmtId="9" fontId="0" fillId="0" borderId="0" xfId="1" applyFont="1"/>
    <xf numFmtId="0" fontId="3" fillId="0" borderId="0" xfId="0" applyFont="1" applyAlignment="1">
      <alignment horizontal="center"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 Growth Revenue</a:t>
            </a:r>
          </a:p>
        </c:rich>
      </c:tx>
      <c:layout>
        <c:manualLayout>
          <c:xMode val="edge"/>
          <c:yMode val="edge"/>
          <c:x val="0.28318044619422567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Dashboard!$B$4:$B$5</c:f>
              <c:strCache>
                <c:ptCount val="2"/>
                <c:pt idx="0">
                  <c:v>Revenue Growth</c:v>
                </c:pt>
                <c:pt idx="1">
                  <c:v>Revenue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Dashboard!$A$6:$A$11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Dashboard!$B$6:$B$11</c:f>
              <c:numCache>
                <c:formatCode>"$"#,##0_);[Red]\("$"#,##0\)</c:formatCode>
                <c:ptCount val="6"/>
                <c:pt idx="0">
                  <c:v>100000000</c:v>
                </c:pt>
                <c:pt idx="1">
                  <c:v>105000000</c:v>
                </c:pt>
                <c:pt idx="2">
                  <c:v>110250000</c:v>
                </c:pt>
                <c:pt idx="3">
                  <c:v>115762500</c:v>
                </c:pt>
                <c:pt idx="4">
                  <c:v>121550625</c:v>
                </c:pt>
                <c:pt idx="5">
                  <c:v>127628156.25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04-4257-9CD6-DE4437225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781903"/>
        <c:axId val="1754082992"/>
      </c:scatterChart>
      <c:valAx>
        <c:axId val="1677781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2992"/>
        <c:crosses val="autoZero"/>
        <c:crossBetween val="midCat"/>
      </c:valAx>
      <c:valAx>
        <c:axId val="17540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7781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LBO Debt Paydown Over 5 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Dashboard!$B$16:$B$17</c:f>
              <c:strCache>
                <c:ptCount val="2"/>
                <c:pt idx="0">
                  <c:v>Debt Paydown</c:v>
                </c:pt>
                <c:pt idx="1">
                  <c:v>Ending Debt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Dashboard!$A$18:$A$23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Dashboard!$B$18:$B$23</c:f>
              <c:numCache>
                <c:formatCode>"$"#,##0.00</c:formatCode>
                <c:ptCount val="6"/>
                <c:pt idx="0">
                  <c:v>72000000</c:v>
                </c:pt>
                <c:pt idx="1">
                  <c:v>66592500</c:v>
                </c:pt>
                <c:pt idx="2">
                  <c:v>60441731.25</c:v>
                </c:pt>
                <c:pt idx="3">
                  <c:v>53485703.390625</c:v>
                </c:pt>
                <c:pt idx="4">
                  <c:v>45658023.131132811</c:v>
                </c:pt>
                <c:pt idx="5">
                  <c:v>36887605.673642285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3-463C-B606-085A2E2E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859551"/>
        <c:axId val="1754140592"/>
      </c:scatterChart>
      <c:valAx>
        <c:axId val="149985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140592"/>
        <c:crosses val="autoZero"/>
        <c:crossBetween val="midCat"/>
      </c:valAx>
      <c:valAx>
        <c:axId val="175414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Outstanding</a:t>
                </a:r>
                <a:r>
                  <a:rPr lang="en-US" baseline="0"/>
                  <a:t> Debt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85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0</xdr:row>
      <xdr:rowOff>90487</xdr:rowOff>
    </xdr:from>
    <xdr:to>
      <xdr:col>10</xdr:col>
      <xdr:colOff>466725</xdr:colOff>
      <xdr:row>13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47E1B0-D403-29A0-D48B-BA2A5793D2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600075</xdr:colOff>
      <xdr:row>13</xdr:row>
      <xdr:rowOff>4762</xdr:rowOff>
    </xdr:from>
    <xdr:to>
      <xdr:col>10</xdr:col>
      <xdr:colOff>295275</xdr:colOff>
      <xdr:row>25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ED1769-036E-7720-6281-94BA77F5F3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24</xdr:row>
          <xdr:rowOff>152400</xdr:rowOff>
        </xdr:from>
        <xdr:to>
          <xdr:col>12</xdr:col>
          <xdr:colOff>533400</xdr:colOff>
          <xdr:row>26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1B43F8A-980A-D3E8-A635-FBA6DF8DE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Enter Deal Assumptions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21</xdr:row>
          <xdr:rowOff>85725</xdr:rowOff>
        </xdr:from>
        <xdr:to>
          <xdr:col>12</xdr:col>
          <xdr:colOff>600075</xdr:colOff>
          <xdr:row>23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97FE59F-B657-262F-DD3A-6EAC194B9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Downside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18</xdr:row>
          <xdr:rowOff>19050</xdr:rowOff>
        </xdr:from>
        <xdr:to>
          <xdr:col>12</xdr:col>
          <xdr:colOff>638175</xdr:colOff>
          <xdr:row>20</xdr:row>
          <xdr:rowOff>28576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 Base Case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5AE90-11F8-43AA-81CF-AD0642F5D966}">
  <sheetPr codeName="Sheet1"/>
  <dimension ref="B1:K22"/>
  <sheetViews>
    <sheetView workbookViewId="0">
      <selection activeCell="C7" sqref="C7"/>
    </sheetView>
  </sheetViews>
  <sheetFormatPr defaultRowHeight="15" x14ac:dyDescent="0.25"/>
  <cols>
    <col min="1" max="1" width="10.42578125" customWidth="1"/>
    <col min="2" max="2" width="21.85546875" bestFit="1" customWidth="1"/>
    <col min="3" max="3" width="12.5703125" bestFit="1" customWidth="1"/>
    <col min="5" max="5" width="19.7109375" customWidth="1"/>
    <col min="6" max="6" width="18.140625" bestFit="1" customWidth="1"/>
    <col min="7" max="7" width="11.5703125" bestFit="1" customWidth="1"/>
  </cols>
  <sheetData>
    <row r="1" spans="2:11" x14ac:dyDescent="0.25">
      <c r="B1" s="25" t="s">
        <v>53</v>
      </c>
      <c r="C1" s="25"/>
    </row>
    <row r="2" spans="2:11" x14ac:dyDescent="0.25">
      <c r="B2" s="25" t="s">
        <v>54</v>
      </c>
      <c r="C2" s="25"/>
    </row>
    <row r="3" spans="2:11" x14ac:dyDescent="0.25">
      <c r="B3" s="1"/>
      <c r="C3" s="5"/>
      <c r="F3" s="1"/>
      <c r="G3" s="5"/>
    </row>
    <row r="4" spans="2:11" x14ac:dyDescent="0.25">
      <c r="B4" s="27" t="s">
        <v>16</v>
      </c>
      <c r="C4" s="27"/>
      <c r="E4" s="25" t="s">
        <v>19</v>
      </c>
      <c r="F4" s="25"/>
    </row>
    <row r="5" spans="2:11" x14ac:dyDescent="0.25">
      <c r="B5" s="1" t="s">
        <v>0</v>
      </c>
      <c r="C5" s="8">
        <v>100000000</v>
      </c>
      <c r="E5" t="s">
        <v>17</v>
      </c>
      <c r="F5" s="4">
        <f>C5*C6</f>
        <v>15000000</v>
      </c>
    </row>
    <row r="6" spans="2:11" x14ac:dyDescent="0.25">
      <c r="B6" s="1" t="s">
        <v>1</v>
      </c>
      <c r="C6" s="9">
        <v>0.15</v>
      </c>
      <c r="E6" t="s">
        <v>20</v>
      </c>
      <c r="F6" s="11">
        <f>F5*C7</f>
        <v>120000000</v>
      </c>
    </row>
    <row r="7" spans="2:11" ht="15.75" customHeight="1" x14ac:dyDescent="0.25">
      <c r="B7" s="1" t="s">
        <v>2</v>
      </c>
      <c r="C7" s="7">
        <v>8</v>
      </c>
      <c r="E7" t="s">
        <v>21</v>
      </c>
      <c r="F7" s="11">
        <f>F6*C8</f>
        <v>72000000</v>
      </c>
    </row>
    <row r="8" spans="2:11" x14ac:dyDescent="0.25">
      <c r="B8" s="1" t="s">
        <v>14</v>
      </c>
      <c r="C8" s="9">
        <v>0.6</v>
      </c>
      <c r="E8" t="s">
        <v>22</v>
      </c>
      <c r="F8" s="11">
        <f>F6*C9</f>
        <v>48000000</v>
      </c>
    </row>
    <row r="9" spans="2:11" ht="15.75" customHeight="1" x14ac:dyDescent="0.25">
      <c r="B9" s="1" t="s">
        <v>15</v>
      </c>
      <c r="C9" s="9">
        <f>1-C8</f>
        <v>0.4</v>
      </c>
      <c r="E9" t="s">
        <v>23</v>
      </c>
      <c r="F9">
        <f>F7/F5</f>
        <v>4.8</v>
      </c>
    </row>
    <row r="10" spans="2:11" x14ac:dyDescent="0.25">
      <c r="B10" s="1" t="s">
        <v>3</v>
      </c>
      <c r="C10" s="9">
        <v>7.0000000000000007E-2</v>
      </c>
    </row>
    <row r="11" spans="2:11" x14ac:dyDescent="0.25">
      <c r="B11" s="1" t="s">
        <v>4</v>
      </c>
      <c r="C11" s="9">
        <v>0.25</v>
      </c>
    </row>
    <row r="12" spans="2:11" x14ac:dyDescent="0.25">
      <c r="B12" s="1" t="s">
        <v>5</v>
      </c>
      <c r="C12" s="7">
        <v>5</v>
      </c>
    </row>
    <row r="13" spans="2:11" ht="16.5" customHeight="1" x14ac:dyDescent="0.25">
      <c r="B13" s="1" t="s">
        <v>9</v>
      </c>
      <c r="C13" s="7">
        <v>8.5</v>
      </c>
    </row>
    <row r="14" spans="2:11" x14ac:dyDescent="0.25">
      <c r="B14" s="1" t="s">
        <v>10</v>
      </c>
      <c r="C14" s="22">
        <v>0.2</v>
      </c>
      <c r="F14" s="26" t="s">
        <v>50</v>
      </c>
      <c r="G14" s="26"/>
      <c r="H14" s="26"/>
      <c r="I14" s="26"/>
      <c r="J14" s="26"/>
      <c r="K14" s="26"/>
    </row>
    <row r="15" spans="2:11" x14ac:dyDescent="0.25">
      <c r="B15" s="23" t="s">
        <v>48</v>
      </c>
      <c r="C15" s="13">
        <v>5</v>
      </c>
      <c r="G15" s="25" t="s">
        <v>51</v>
      </c>
      <c r="H15" s="25"/>
      <c r="I15" s="25"/>
      <c r="J15" s="25"/>
      <c r="K15" s="25"/>
    </row>
    <row r="16" spans="2:11" ht="18" customHeight="1" x14ac:dyDescent="0.25">
      <c r="B16" s="27" t="s">
        <v>18</v>
      </c>
      <c r="C16" s="27"/>
      <c r="F16" s="3">
        <f>'Returns Analysis'!B12</f>
        <v>0.21259093317153144</v>
      </c>
      <c r="G16" s="12">
        <v>7</v>
      </c>
      <c r="H16" s="12">
        <v>7.5</v>
      </c>
      <c r="I16" s="12">
        <v>8</v>
      </c>
      <c r="J16" s="12">
        <v>8.5</v>
      </c>
      <c r="K16" s="12">
        <v>9</v>
      </c>
    </row>
    <row r="17" spans="2:11" x14ac:dyDescent="0.25">
      <c r="B17" s="1" t="s">
        <v>13</v>
      </c>
      <c r="C17" s="9">
        <v>0.05</v>
      </c>
      <c r="F17">
        <v>7</v>
      </c>
      <c r="G17" s="21">
        <f t="dataTable" ref="G17:K21" dt2D="1" dtr="1" r1="C13" r2="C7"/>
        <v>0.20957474917770869</v>
      </c>
      <c r="H17" s="21">
        <v>0.23015633335568642</v>
      </c>
      <c r="I17" s="21">
        <v>0.24944612989958603</v>
      </c>
      <c r="J17" s="21">
        <v>0.26761338288717118</v>
      </c>
      <c r="K17" s="21">
        <v>0.28479516961630891</v>
      </c>
    </row>
    <row r="18" spans="2:11" x14ac:dyDescent="0.25">
      <c r="B18" s="1" t="s">
        <v>1</v>
      </c>
      <c r="C18" s="9">
        <v>0.15</v>
      </c>
      <c r="F18">
        <v>7.5</v>
      </c>
      <c r="G18" s="21">
        <v>0.17996521073725691</v>
      </c>
      <c r="H18" s="21">
        <v>0.20113732198050971</v>
      </c>
      <c r="I18" s="21">
        <v>0.22091402681487748</v>
      </c>
      <c r="J18" s="21">
        <v>0.2394866140339309</v>
      </c>
      <c r="K18" s="21">
        <v>0.25700844925356314</v>
      </c>
    </row>
    <row r="19" spans="2:11" x14ac:dyDescent="0.25">
      <c r="B19" s="1" t="s">
        <v>6</v>
      </c>
      <c r="C19" s="10">
        <v>2.5000000000000001E-2</v>
      </c>
      <c r="F19">
        <v>8</v>
      </c>
      <c r="G19" s="21">
        <v>0.15137087329485288</v>
      </c>
      <c r="H19" s="21">
        <v>0.17322094881708328</v>
      </c>
      <c r="I19" s="21">
        <v>0.19355499497687956</v>
      </c>
      <c r="J19" s="21">
        <v>0.21259093317153144</v>
      </c>
      <c r="K19" s="21">
        <v>0.23050153583785726</v>
      </c>
    </row>
    <row r="20" spans="2:11" ht="30" x14ac:dyDescent="0.25">
      <c r="B20" s="1" t="s">
        <v>7</v>
      </c>
      <c r="C20" s="10">
        <v>5.0000000000000001E-3</v>
      </c>
      <c r="F20">
        <v>8.5</v>
      </c>
      <c r="G20" s="21">
        <v>0.12354281415127599</v>
      </c>
      <c r="H20" s="21">
        <v>0.14616935202443249</v>
      </c>
      <c r="I20" s="21">
        <v>0.16713857848745195</v>
      </c>
      <c r="J20" s="21">
        <v>0.18670089167673543</v>
      </c>
      <c r="K20" s="21">
        <v>0.20505236481146349</v>
      </c>
    </row>
    <row r="21" spans="2:11" ht="30" x14ac:dyDescent="0.25">
      <c r="B21" s="1" t="s">
        <v>8</v>
      </c>
      <c r="C21" s="10">
        <v>0.02</v>
      </c>
      <c r="F21">
        <v>9</v>
      </c>
      <c r="G21" s="21">
        <v>9.6257220233891605E-2</v>
      </c>
      <c r="H21" s="21">
        <v>0.11977321177396383</v>
      </c>
      <c r="I21" s="21">
        <v>0.1414651651361083</v>
      </c>
      <c r="J21" s="21">
        <v>0.16162350681028737</v>
      </c>
      <c r="K21" s="21">
        <v>0.18047253324642853</v>
      </c>
    </row>
    <row r="22" spans="2:11" x14ac:dyDescent="0.25">
      <c r="F22" t="s">
        <v>49</v>
      </c>
    </row>
  </sheetData>
  <mergeCells count="7">
    <mergeCell ref="B16:C16"/>
    <mergeCell ref="B4:C4"/>
    <mergeCell ref="E4:F4"/>
    <mergeCell ref="G15:K15"/>
    <mergeCell ref="F14:K14"/>
    <mergeCell ref="B1:C1"/>
    <mergeCell ref="B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9967-C869-4CD9-A8C9-1F6DB8A10309}">
  <sheetPr codeName="Sheet2"/>
  <dimension ref="A1:G12"/>
  <sheetViews>
    <sheetView workbookViewId="0">
      <selection activeCell="B2" sqref="B2"/>
    </sheetView>
  </sheetViews>
  <sheetFormatPr defaultRowHeight="15" x14ac:dyDescent="0.25"/>
  <cols>
    <col min="1" max="1" width="13.85546875" bestFit="1" customWidth="1"/>
    <col min="2" max="7" width="14.5703125" bestFit="1" customWidth="1"/>
  </cols>
  <sheetData>
    <row r="1" spans="1:7" x14ac:dyDescent="0.25">
      <c r="A1" s="16" t="s">
        <v>24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</row>
    <row r="2" spans="1:7" x14ac:dyDescent="0.25">
      <c r="A2" s="16" t="s">
        <v>11</v>
      </c>
      <c r="B2" s="4">
        <f>'Deal Inputs'!C5</f>
        <v>100000000</v>
      </c>
      <c r="C2" s="4">
        <f>B2*(1+'Deal Inputs'!$C$17)</f>
        <v>105000000</v>
      </c>
      <c r="D2" s="4">
        <f>C2*(1+'Deal Inputs'!$C$17)</f>
        <v>110250000</v>
      </c>
      <c r="E2" s="4">
        <f>D2*(1+'Deal Inputs'!$C$17)</f>
        <v>115762500</v>
      </c>
      <c r="F2" s="4">
        <f>E2*(1+'Deal Inputs'!$C$17)</f>
        <v>121550625</v>
      </c>
      <c r="G2" s="4">
        <f>F2*(1+'Deal Inputs'!$C$17)</f>
        <v>127628156.25</v>
      </c>
    </row>
    <row r="3" spans="1:7" x14ac:dyDescent="0.25">
      <c r="A3" s="16" t="s">
        <v>1</v>
      </c>
      <c r="B3" s="2">
        <f>'Deal Inputs'!C6</f>
        <v>0.15</v>
      </c>
      <c r="C3" s="2">
        <f>'Deal Inputs'!$C$18</f>
        <v>0.15</v>
      </c>
      <c r="D3" s="2">
        <f>'Deal Inputs'!$C$18</f>
        <v>0.15</v>
      </c>
      <c r="E3" s="2">
        <f>'Deal Inputs'!$C$18</f>
        <v>0.15</v>
      </c>
      <c r="F3" s="2">
        <f>'Deal Inputs'!$C$18</f>
        <v>0.15</v>
      </c>
      <c r="G3" s="2">
        <f>'Deal Inputs'!$C$18</f>
        <v>0.15</v>
      </c>
    </row>
    <row r="4" spans="1:7" x14ac:dyDescent="0.25">
      <c r="A4" s="16" t="s">
        <v>12</v>
      </c>
      <c r="B4" s="4">
        <f>B2*B3</f>
        <v>15000000</v>
      </c>
      <c r="C4" s="4">
        <f>C2*C3</f>
        <v>15750000</v>
      </c>
      <c r="D4" s="4">
        <f t="shared" ref="D4:G4" si="0">D2*D3</f>
        <v>16537500</v>
      </c>
      <c r="E4" s="4">
        <f t="shared" si="0"/>
        <v>17364375</v>
      </c>
      <c r="F4" s="4">
        <f t="shared" si="0"/>
        <v>18232593.75</v>
      </c>
      <c r="G4" s="4">
        <f t="shared" si="0"/>
        <v>19144223.4375</v>
      </c>
    </row>
    <row r="5" spans="1:7" x14ac:dyDescent="0.25">
      <c r="A5" s="16" t="s">
        <v>25</v>
      </c>
      <c r="B5" s="14">
        <f>B2*'Deal Inputs'!C21</f>
        <v>2000000</v>
      </c>
      <c r="C5" s="14">
        <f>C2*'Deal Inputs'!$C$21</f>
        <v>2100000</v>
      </c>
      <c r="D5" s="14">
        <f>D2*'Deal Inputs'!$C$21</f>
        <v>2205000</v>
      </c>
      <c r="E5" s="14">
        <f>E2*'Deal Inputs'!$C$21</f>
        <v>2315250</v>
      </c>
      <c r="F5" s="14">
        <f>F2*'Deal Inputs'!$C$21</f>
        <v>2431012.5</v>
      </c>
      <c r="G5" s="14">
        <f>G2*'Deal Inputs'!$C$21</f>
        <v>2552563.125</v>
      </c>
    </row>
    <row r="6" spans="1:7" x14ac:dyDescent="0.25">
      <c r="A6" s="16" t="s">
        <v>26</v>
      </c>
      <c r="B6" s="14">
        <f>B4-B5</f>
        <v>13000000</v>
      </c>
      <c r="C6" s="14">
        <f t="shared" ref="C6:G6" si="1">C4-C5</f>
        <v>13650000</v>
      </c>
      <c r="D6" s="14">
        <f t="shared" si="1"/>
        <v>14332500</v>
      </c>
      <c r="E6" s="14">
        <f t="shared" si="1"/>
        <v>15049125</v>
      </c>
      <c r="F6" s="14">
        <f t="shared" si="1"/>
        <v>15801581.25</v>
      </c>
      <c r="G6" s="14">
        <f t="shared" si="1"/>
        <v>16591660.3125</v>
      </c>
    </row>
    <row r="7" spans="1:7" x14ac:dyDescent="0.25">
      <c r="A7" s="18" t="s">
        <v>27</v>
      </c>
      <c r="B7" s="15">
        <f>B6*'Deal Inputs'!$C$11</f>
        <v>3250000</v>
      </c>
      <c r="C7" s="15">
        <f>C6*'Deal Inputs'!$C$11</f>
        <v>3412500</v>
      </c>
      <c r="D7" s="15">
        <f>D6*'Deal Inputs'!$C$11</f>
        <v>3583125</v>
      </c>
      <c r="E7" s="15">
        <f>E6*'Deal Inputs'!$C$11</f>
        <v>3762281.25</v>
      </c>
      <c r="F7" s="15">
        <f>F6*'Deal Inputs'!$C$11</f>
        <v>3950395.3125</v>
      </c>
      <c r="G7" s="15">
        <f>G6*'Deal Inputs'!$C$11</f>
        <v>4147915.078125</v>
      </c>
    </row>
    <row r="8" spans="1:7" x14ac:dyDescent="0.25">
      <c r="A8" s="18" t="s">
        <v>28</v>
      </c>
      <c r="B8" s="15">
        <f>B6-B7</f>
        <v>9750000</v>
      </c>
      <c r="C8" s="15">
        <f t="shared" ref="C8:G8" si="2">C6-C7</f>
        <v>10237500</v>
      </c>
      <c r="D8" s="15">
        <f t="shared" si="2"/>
        <v>10749375</v>
      </c>
      <c r="E8" s="15">
        <f t="shared" si="2"/>
        <v>11286843.75</v>
      </c>
      <c r="F8" s="15">
        <f t="shared" si="2"/>
        <v>11851185.9375</v>
      </c>
      <c r="G8" s="15">
        <f t="shared" si="2"/>
        <v>12443745.234375</v>
      </c>
    </row>
    <row r="9" spans="1:7" x14ac:dyDescent="0.25">
      <c r="A9" s="18" t="s">
        <v>32</v>
      </c>
      <c r="B9" s="15">
        <f>B2*'Deal Inputs'!$C$21</f>
        <v>2000000</v>
      </c>
      <c r="C9" s="15">
        <f>C2*'Deal Inputs'!$C$21</f>
        <v>2100000</v>
      </c>
      <c r="D9" s="15">
        <f>D2*'Deal Inputs'!$C$21</f>
        <v>2205000</v>
      </c>
      <c r="E9" s="15">
        <f>E2*'Deal Inputs'!$C$21</f>
        <v>2315250</v>
      </c>
      <c r="F9" s="15">
        <f>F2*'Deal Inputs'!$C$21</f>
        <v>2431012.5</v>
      </c>
      <c r="G9" s="15">
        <f>G2*'Deal Inputs'!$C$21</f>
        <v>2552563.125</v>
      </c>
    </row>
    <row r="10" spans="1:7" x14ac:dyDescent="0.25">
      <c r="A10" s="18" t="s">
        <v>29</v>
      </c>
      <c r="B10" s="15">
        <f>B2*'Deal Inputs'!$C$19</f>
        <v>2500000</v>
      </c>
      <c r="C10" s="15">
        <f>C2*'Deal Inputs'!$C$19</f>
        <v>2625000</v>
      </c>
      <c r="D10" s="15">
        <f>D2*'Deal Inputs'!$C$19</f>
        <v>2756250</v>
      </c>
      <c r="E10" s="15">
        <f>E2*'Deal Inputs'!$C$19</f>
        <v>2894062.5</v>
      </c>
      <c r="F10" s="15">
        <f>F2*'Deal Inputs'!$C$19</f>
        <v>3038765.625</v>
      </c>
      <c r="G10" s="15">
        <f>G2*'Deal Inputs'!$C$19</f>
        <v>3190703.90625</v>
      </c>
    </row>
    <row r="11" spans="1:7" ht="29.25" customHeight="1" x14ac:dyDescent="0.25">
      <c r="A11" s="18" t="s">
        <v>30</v>
      </c>
      <c r="B11" s="15">
        <f>B2*'Deal Inputs'!$C$20</f>
        <v>500000</v>
      </c>
      <c r="C11" s="15">
        <f>C2*'Deal Inputs'!$C$20</f>
        <v>525000</v>
      </c>
      <c r="D11" s="15">
        <f>D2*'Deal Inputs'!$C$20</f>
        <v>551250</v>
      </c>
      <c r="E11" s="15">
        <f>E2*'Deal Inputs'!$C$20</f>
        <v>578812.5</v>
      </c>
      <c r="F11" s="15">
        <f>F2*'Deal Inputs'!$C$20</f>
        <v>607753.125</v>
      </c>
      <c r="G11" s="15">
        <f>G2*'Deal Inputs'!$C$20</f>
        <v>638140.78125</v>
      </c>
    </row>
    <row r="12" spans="1:7" ht="26.25" customHeight="1" x14ac:dyDescent="0.25">
      <c r="A12" s="18" t="s">
        <v>31</v>
      </c>
      <c r="B12" s="1"/>
      <c r="C12" s="14">
        <f>C8+C9-C10-C11</f>
        <v>9187500</v>
      </c>
      <c r="D12" s="14">
        <f t="shared" ref="D12:G12" si="3">D8+D9-D10-D11</f>
        <v>9646875</v>
      </c>
      <c r="E12" s="14">
        <f t="shared" si="3"/>
        <v>10129218.75</v>
      </c>
      <c r="F12" s="14">
        <f t="shared" si="3"/>
        <v>10635679.6875</v>
      </c>
      <c r="G12" s="14">
        <f t="shared" si="3"/>
        <v>11167463.671875</v>
      </c>
    </row>
  </sheetData>
  <pageMargins left="0.7" right="0.7" top="0.75" bottom="0.75" header="0.3" footer="0.3"/>
  <ignoredErrors>
    <ignoredError sqref="B7:G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49543-B59A-4596-9B5B-4307CFCF2B50}">
  <sheetPr codeName="Sheet3"/>
  <dimension ref="A1:F6"/>
  <sheetViews>
    <sheetView workbookViewId="0">
      <selection activeCell="C2" sqref="C2"/>
    </sheetView>
  </sheetViews>
  <sheetFormatPr defaultRowHeight="15" x14ac:dyDescent="0.25"/>
  <cols>
    <col min="1" max="1" width="16.5703125" customWidth="1"/>
    <col min="2" max="3" width="13.85546875" bestFit="1" customWidth="1"/>
    <col min="4" max="6" width="14.5703125" bestFit="1" customWidth="1"/>
  </cols>
  <sheetData>
    <row r="1" spans="1:6" x14ac:dyDescent="0.25">
      <c r="A1" s="16" t="s">
        <v>24</v>
      </c>
      <c r="B1" s="17">
        <v>1</v>
      </c>
      <c r="C1" s="17">
        <v>2</v>
      </c>
      <c r="D1" s="17">
        <v>3</v>
      </c>
      <c r="E1" s="17">
        <v>4</v>
      </c>
      <c r="F1" s="17">
        <v>5</v>
      </c>
    </row>
    <row r="2" spans="1:6" x14ac:dyDescent="0.25">
      <c r="A2" s="16" t="s">
        <v>33</v>
      </c>
      <c r="B2" s="11">
        <f>'Deal Inputs'!F7</f>
        <v>72000000</v>
      </c>
      <c r="C2" s="11">
        <f>B6</f>
        <v>66592500</v>
      </c>
      <c r="D2" s="11">
        <f t="shared" ref="D2:F2" si="0">C6</f>
        <v>60441731.25</v>
      </c>
      <c r="E2" s="11">
        <f t="shared" si="0"/>
        <v>53485703.390625</v>
      </c>
      <c r="F2" s="11">
        <f t="shared" si="0"/>
        <v>45658023.131132811</v>
      </c>
    </row>
    <row r="3" spans="1:6" x14ac:dyDescent="0.25">
      <c r="A3" s="16" t="s">
        <v>34</v>
      </c>
      <c r="B3" s="11">
        <f>B2*'Deal Inputs'!$C$10</f>
        <v>5040000.0000000009</v>
      </c>
      <c r="C3" s="11">
        <f>C2*'Deal Inputs'!$C$10</f>
        <v>4661475</v>
      </c>
      <c r="D3" s="11">
        <f>D2*'Deal Inputs'!$C$10</f>
        <v>4230921.1875</v>
      </c>
      <c r="E3" s="11">
        <f>E2*'Deal Inputs'!$C$10</f>
        <v>3743999.2373437504</v>
      </c>
      <c r="F3" s="11">
        <f>F2*'Deal Inputs'!$C$10</f>
        <v>3196061.6191792972</v>
      </c>
    </row>
    <row r="4" spans="1:6" ht="31.5" customHeight="1" x14ac:dyDescent="0.25">
      <c r="A4" s="19" t="s">
        <v>35</v>
      </c>
      <c r="B4" s="14">
        <f>'Operating Model'!C12-B3*(1-'Deal Inputs'!$C$11)</f>
        <v>5407499.9999999991</v>
      </c>
      <c r="C4" s="14">
        <f>'Operating Model'!D12-C3*(1-'Deal Inputs'!$C$11)</f>
        <v>6150768.75</v>
      </c>
      <c r="D4" s="14">
        <f>'Operating Model'!E12-D3*(1-'Deal Inputs'!$C$11)</f>
        <v>6956027.859375</v>
      </c>
      <c r="E4" s="14">
        <f>'Operating Model'!F12-E3*(1-'Deal Inputs'!$C$11)</f>
        <v>7827680.2594921868</v>
      </c>
      <c r="F4" s="14">
        <f>'Operating Model'!G12-F3*(1-'Deal Inputs'!$C$11)</f>
        <v>8770417.4574905261</v>
      </c>
    </row>
    <row r="5" spans="1:6" x14ac:dyDescent="0.25">
      <c r="A5" s="16" t="s">
        <v>36</v>
      </c>
      <c r="B5" s="11">
        <f>MIN(B2,MAX(0,B4))</f>
        <v>5407499.9999999991</v>
      </c>
      <c r="C5" s="11">
        <f t="shared" ref="C5:F5" si="1">MIN(C2,MAX(0,C4))</f>
        <v>6150768.75</v>
      </c>
      <c r="D5" s="11">
        <f t="shared" si="1"/>
        <v>6956027.859375</v>
      </c>
      <c r="E5" s="11">
        <f t="shared" si="1"/>
        <v>7827680.2594921868</v>
      </c>
      <c r="F5" s="11">
        <f t="shared" si="1"/>
        <v>8770417.4574905261</v>
      </c>
    </row>
    <row r="6" spans="1:6" x14ac:dyDescent="0.25">
      <c r="A6" s="16" t="s">
        <v>37</v>
      </c>
      <c r="B6" s="11">
        <f>B2-B5</f>
        <v>66592500</v>
      </c>
      <c r="C6" s="11">
        <f t="shared" ref="C6:F6" si="2">C2-C5</f>
        <v>60441731.25</v>
      </c>
      <c r="D6" s="11">
        <f t="shared" si="2"/>
        <v>53485703.390625</v>
      </c>
      <c r="E6" s="11">
        <f t="shared" si="2"/>
        <v>45658023.131132811</v>
      </c>
      <c r="F6" s="11">
        <f t="shared" si="2"/>
        <v>36887605.673642285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EFB1C-8228-49C0-B327-7F5D4B355479}">
  <sheetPr codeName="Sheet4"/>
  <dimension ref="A1:C15"/>
  <sheetViews>
    <sheetView workbookViewId="0">
      <selection activeCell="C14" sqref="C14"/>
    </sheetView>
  </sheetViews>
  <sheetFormatPr defaultRowHeight="15" x14ac:dyDescent="0.25"/>
  <cols>
    <col min="1" max="1" width="19.85546875" bestFit="1" customWidth="1"/>
    <col min="2" max="2" width="14.85546875" bestFit="1" customWidth="1"/>
    <col min="3" max="3" width="22" customWidth="1"/>
  </cols>
  <sheetData>
    <row r="1" spans="1:3" x14ac:dyDescent="0.25">
      <c r="A1" s="28" t="s">
        <v>44</v>
      </c>
      <c r="B1" s="28"/>
    </row>
    <row r="2" spans="1:3" x14ac:dyDescent="0.25">
      <c r="A2" t="s">
        <v>38</v>
      </c>
      <c r="B2" s="4">
        <f>'Operating Model'!G4</f>
        <v>19144223.4375</v>
      </c>
    </row>
    <row r="3" spans="1:3" x14ac:dyDescent="0.25">
      <c r="A3" t="s">
        <v>9</v>
      </c>
      <c r="B3">
        <f>'Deal Inputs'!C13</f>
        <v>8.5</v>
      </c>
    </row>
    <row r="4" spans="1:3" x14ac:dyDescent="0.25">
      <c r="A4" t="s">
        <v>39</v>
      </c>
      <c r="B4" s="11">
        <f>B2*B3</f>
        <v>162725899.21875</v>
      </c>
    </row>
    <row r="5" spans="1:3" x14ac:dyDescent="0.25">
      <c r="A5" t="s">
        <v>40</v>
      </c>
      <c r="B5" s="11">
        <f>'Debt Schedule'!F6</f>
        <v>36887605.673642285</v>
      </c>
    </row>
    <row r="6" spans="1:3" x14ac:dyDescent="0.25">
      <c r="A6" t="s">
        <v>41</v>
      </c>
      <c r="B6" s="11">
        <f>B4-B5</f>
        <v>125838293.54510772</v>
      </c>
    </row>
    <row r="8" spans="1:3" x14ac:dyDescent="0.25">
      <c r="A8" s="29" t="s">
        <v>45</v>
      </c>
      <c r="B8" s="29"/>
    </row>
    <row r="9" spans="1:3" x14ac:dyDescent="0.25">
      <c r="A9" t="s">
        <v>22</v>
      </c>
      <c r="B9" s="11">
        <f>'Deal Inputs'!F8</f>
        <v>48000000</v>
      </c>
    </row>
    <row r="10" spans="1:3" x14ac:dyDescent="0.25">
      <c r="A10" t="s">
        <v>41</v>
      </c>
      <c r="B10" s="11">
        <f>B6</f>
        <v>125838293.54510772</v>
      </c>
    </row>
    <row r="11" spans="1:3" x14ac:dyDescent="0.25">
      <c r="A11" t="s">
        <v>42</v>
      </c>
      <c r="B11" s="20">
        <f>B6/B9</f>
        <v>2.6216311155230776</v>
      </c>
    </row>
    <row r="12" spans="1:3" x14ac:dyDescent="0.25">
      <c r="A12" t="s">
        <v>43</v>
      </c>
      <c r="B12" s="21">
        <f>(B11^(1/'Deal Inputs'!C12))-1</f>
        <v>0.21259093317153144</v>
      </c>
    </row>
    <row r="14" spans="1:3" x14ac:dyDescent="0.25">
      <c r="A14" s="28" t="s">
        <v>46</v>
      </c>
      <c r="B14" s="28"/>
      <c r="C14" s="16" t="str">
        <f>IF('Deal Inputs'!C14&lt;='Returns Analysis'!B12,"INVEST","REJECT")</f>
        <v>INVEST</v>
      </c>
    </row>
    <row r="15" spans="1:3" x14ac:dyDescent="0.25">
      <c r="A15" s="28" t="s">
        <v>47</v>
      </c>
      <c r="B15" s="28"/>
      <c r="C15" s="16" t="str">
        <f>IF('Deal Inputs'!F9&gt;='Deal Inputs'!C15,"HIGH LEVERAGE","ACCEPTABLE LEVERAGE")</f>
        <v>ACCEPTABLE LEVERAGE</v>
      </c>
    </row>
  </sheetData>
  <mergeCells count="4">
    <mergeCell ref="A1:B1"/>
    <mergeCell ref="A8:B8"/>
    <mergeCell ref="A14:B14"/>
    <mergeCell ref="A15:B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018F5-B571-47B2-B210-366B787FC844}">
  <sheetPr codeName="Sheet5"/>
  <dimension ref="A1:M28"/>
  <sheetViews>
    <sheetView tabSelected="1" workbookViewId="0">
      <selection activeCell="P23" sqref="P23"/>
    </sheetView>
  </sheetViews>
  <sheetFormatPr defaultRowHeight="15" x14ac:dyDescent="0.25"/>
  <cols>
    <col min="1" max="1" width="11.140625" customWidth="1"/>
    <col min="2" max="2" width="17.140625" customWidth="1"/>
    <col min="11" max="11" width="7.140625" customWidth="1"/>
    <col min="12" max="12" width="19.85546875" customWidth="1"/>
    <col min="13" max="13" width="20.42578125" customWidth="1"/>
  </cols>
  <sheetData>
    <row r="1" spans="1:13" x14ac:dyDescent="0.25">
      <c r="A1" s="33" t="s">
        <v>55</v>
      </c>
      <c r="B1" s="33"/>
      <c r="C1" s="33"/>
    </row>
    <row r="2" spans="1:13" x14ac:dyDescent="0.25">
      <c r="A2" s="33"/>
      <c r="B2" s="33"/>
      <c r="C2" s="33"/>
    </row>
    <row r="4" spans="1:13" x14ac:dyDescent="0.25">
      <c r="A4" s="24" t="s">
        <v>13</v>
      </c>
      <c r="B4" s="24"/>
    </row>
    <row r="5" spans="1:13" x14ac:dyDescent="0.25">
      <c r="A5" t="s">
        <v>24</v>
      </c>
      <c r="B5" t="s">
        <v>11</v>
      </c>
      <c r="L5" s="28" t="s">
        <v>52</v>
      </c>
      <c r="M5" s="28"/>
    </row>
    <row r="6" spans="1:13" x14ac:dyDescent="0.25">
      <c r="A6">
        <v>0</v>
      </c>
      <c r="B6" s="4">
        <f>'Operating Model'!B2</f>
        <v>100000000</v>
      </c>
      <c r="L6" t="s">
        <v>20</v>
      </c>
      <c r="M6" s="31">
        <f>'Deal Inputs'!F6</f>
        <v>120000000</v>
      </c>
    </row>
    <row r="7" spans="1:13" x14ac:dyDescent="0.25">
      <c r="A7">
        <v>1</v>
      </c>
      <c r="B7" s="4">
        <f>'Operating Model'!C2</f>
        <v>105000000</v>
      </c>
      <c r="L7" t="s">
        <v>22</v>
      </c>
      <c r="M7" s="31">
        <f>'Deal Inputs'!F8</f>
        <v>48000000</v>
      </c>
    </row>
    <row r="8" spans="1:13" x14ac:dyDescent="0.25">
      <c r="A8">
        <v>2</v>
      </c>
      <c r="B8" s="4">
        <f>'Operating Model'!D2</f>
        <v>110250000</v>
      </c>
      <c r="L8" t="s">
        <v>21</v>
      </c>
      <c r="M8" s="31">
        <f>'Deal Inputs'!F7</f>
        <v>72000000</v>
      </c>
    </row>
    <row r="9" spans="1:13" x14ac:dyDescent="0.25">
      <c r="A9">
        <v>3</v>
      </c>
      <c r="B9" s="4">
        <f>'Operating Model'!E2</f>
        <v>115762500</v>
      </c>
      <c r="L9" t="s">
        <v>39</v>
      </c>
      <c r="M9" s="31">
        <f>'Returns Analysis'!B4</f>
        <v>162725899.21875</v>
      </c>
    </row>
    <row r="10" spans="1:13" x14ac:dyDescent="0.25">
      <c r="A10">
        <v>4</v>
      </c>
      <c r="B10" s="4">
        <f>'Operating Model'!F2</f>
        <v>121550625</v>
      </c>
      <c r="L10" t="s">
        <v>40</v>
      </c>
      <c r="M10" s="31">
        <f>'Returns Analysis'!B5</f>
        <v>36887605.673642285</v>
      </c>
    </row>
    <row r="11" spans="1:13" x14ac:dyDescent="0.25">
      <c r="A11">
        <v>5</v>
      </c>
      <c r="B11" s="4">
        <f>'Operating Model'!G2</f>
        <v>127628156.25</v>
      </c>
      <c r="L11" t="s">
        <v>41</v>
      </c>
      <c r="M11" s="31">
        <f>'Returns Analysis'!B6</f>
        <v>125838293.54510772</v>
      </c>
    </row>
    <row r="12" spans="1:13" x14ac:dyDescent="0.25">
      <c r="L12" t="s">
        <v>42</v>
      </c>
      <c r="M12">
        <f>'Returns Analysis'!B11</f>
        <v>2.6216311155230776</v>
      </c>
    </row>
    <row r="13" spans="1:13" x14ac:dyDescent="0.25">
      <c r="L13" t="s">
        <v>43</v>
      </c>
      <c r="M13" s="3">
        <f>'Returns Analysis'!B12</f>
        <v>0.21259093317153144</v>
      </c>
    </row>
    <row r="14" spans="1:13" x14ac:dyDescent="0.25">
      <c r="L14" t="s">
        <v>10</v>
      </c>
      <c r="M14" s="32">
        <f>'Deal Inputs'!C14</f>
        <v>0.2</v>
      </c>
    </row>
    <row r="15" spans="1:13" x14ac:dyDescent="0.25">
      <c r="L15" t="s">
        <v>46</v>
      </c>
      <c r="M15" t="str">
        <f>'Returns Analysis'!C14</f>
        <v>INVEST</v>
      </c>
    </row>
    <row r="16" spans="1:13" x14ac:dyDescent="0.25">
      <c r="A16" s="24" t="s">
        <v>36</v>
      </c>
      <c r="B16" s="24"/>
      <c r="L16" t="s">
        <v>47</v>
      </c>
      <c r="M16" t="str">
        <f>'Returns Analysis'!C15</f>
        <v>ACCEPTABLE LEVERAGE</v>
      </c>
    </row>
    <row r="17" spans="1:3" x14ac:dyDescent="0.25">
      <c r="A17" t="s">
        <v>24</v>
      </c>
      <c r="B17" t="s">
        <v>37</v>
      </c>
    </row>
    <row r="18" spans="1:3" x14ac:dyDescent="0.25">
      <c r="A18">
        <v>0</v>
      </c>
      <c r="B18" s="11">
        <f>'Debt Schedule'!B2</f>
        <v>72000000</v>
      </c>
    </row>
    <row r="19" spans="1:3" x14ac:dyDescent="0.25">
      <c r="A19">
        <v>1</v>
      </c>
      <c r="B19" s="11">
        <f>'Debt Schedule'!C2</f>
        <v>66592500</v>
      </c>
    </row>
    <row r="20" spans="1:3" x14ac:dyDescent="0.25">
      <c r="A20">
        <v>2</v>
      </c>
      <c r="B20" s="11">
        <f>'Debt Schedule'!D2</f>
        <v>60441731.25</v>
      </c>
    </row>
    <row r="21" spans="1:3" x14ac:dyDescent="0.25">
      <c r="A21">
        <v>3</v>
      </c>
      <c r="B21" s="11">
        <f>'Debt Schedule'!E2</f>
        <v>53485703.390625</v>
      </c>
    </row>
    <row r="22" spans="1:3" x14ac:dyDescent="0.25">
      <c r="A22">
        <v>4</v>
      </c>
      <c r="B22" s="11">
        <f>'Debt Schedule'!F2</f>
        <v>45658023.131132811</v>
      </c>
    </row>
    <row r="23" spans="1:3" x14ac:dyDescent="0.25">
      <c r="A23">
        <v>5</v>
      </c>
      <c r="B23" s="11">
        <f>'Debt Schedule'!F6</f>
        <v>36887605.673642285</v>
      </c>
    </row>
    <row r="28" spans="1:3" x14ac:dyDescent="0.25">
      <c r="B28" s="6"/>
      <c r="C28" s="30"/>
    </row>
  </sheetData>
  <mergeCells count="4">
    <mergeCell ref="L5:M5"/>
    <mergeCell ref="A1:C2"/>
    <mergeCell ref="A4:B4"/>
    <mergeCell ref="A16:B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nterDealAssumptions">
                <anchor moveWithCells="1">
                  <from>
                    <xdr:col>11</xdr:col>
                    <xdr:colOff>371475</xdr:colOff>
                    <xdr:row>24</xdr:row>
                    <xdr:rowOff>152400</xdr:rowOff>
                  </from>
                  <to>
                    <xdr:col>12</xdr:col>
                    <xdr:colOff>533400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wnsideScenario">
                <anchor moveWithCells="1">
                  <from>
                    <xdr:col>11</xdr:col>
                    <xdr:colOff>381000</xdr:colOff>
                    <xdr:row>21</xdr:row>
                    <xdr:rowOff>85725</xdr:rowOff>
                  </from>
                  <to>
                    <xdr:col>12</xdr:col>
                    <xdr:colOff>600075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toreBaseCase">
                <anchor moveWithCells="1">
                  <from>
                    <xdr:col>11</xdr:col>
                    <xdr:colOff>352425</xdr:colOff>
                    <xdr:row>18</xdr:row>
                    <xdr:rowOff>19050</xdr:rowOff>
                  </from>
                  <to>
                    <xdr:col>12</xdr:col>
                    <xdr:colOff>638175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62ebf40-80b2-40ba-86fe-6dd409acb499}" enabled="0" method="" siteId="{762ebf40-80b2-40ba-86fe-6dd409acb49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Deal Inputs</vt:lpstr>
      <vt:lpstr>Operating Model</vt:lpstr>
      <vt:lpstr>Debt Schedule</vt:lpstr>
      <vt:lpstr>Returns Analysis</vt:lpstr>
      <vt:lpstr>Dashboard</vt:lpstr>
      <vt:lpstr>LBO_Debt_Financing</vt:lpstr>
      <vt:lpstr>LBO_Exit_Multiple</vt:lpstr>
      <vt:lpstr>LBO_Purchase_Multiple</vt:lpstr>
      <vt:lpstr>LBO_Revenue_Growth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Haniff</dc:creator>
  <cp:lastModifiedBy>Justin Haniff</cp:lastModifiedBy>
  <dcterms:created xsi:type="dcterms:W3CDTF">2026-10-05T19:55:19Z</dcterms:created>
  <dcterms:modified xsi:type="dcterms:W3CDTF">2026-10-08T20:46:09Z</dcterms:modified>
</cp:coreProperties>
</file>